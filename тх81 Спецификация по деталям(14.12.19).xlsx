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2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Roman\Autowork\2019\dopwork\"/>
    </mc:Choice>
  </mc:AlternateContent>
  <xr:revisionPtr revIDLastSave="0" documentId="13_ncr:1_{6DCEC421-08EF-4661-B4C0-D90B413E3E31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Лист1" sheetId="1" r:id="rId1"/>
    <sheet name="Лист2" sheetId="2" r:id="rId2"/>
    <sheet name="Лист3" sheetId="3" r:id="rId3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24" i="1" l="1"/>
  <c r="O24" i="1"/>
  <c r="N25" i="1"/>
  <c r="O25" i="1"/>
  <c r="N26" i="1"/>
  <c r="O26" i="1"/>
  <c r="N27" i="1"/>
  <c r="O27" i="1"/>
  <c r="N28" i="1"/>
  <c r="O28" i="1"/>
  <c r="N29" i="1"/>
  <c r="O29" i="1"/>
  <c r="N30" i="1"/>
  <c r="O30" i="1"/>
  <c r="N31" i="1"/>
  <c r="O31" i="1"/>
  <c r="N32" i="1"/>
  <c r="O32" i="1"/>
  <c r="N33" i="1"/>
  <c r="O33" i="1"/>
  <c r="N34" i="1"/>
  <c r="O34" i="1"/>
  <c r="N35" i="1"/>
  <c r="O35" i="1"/>
  <c r="N36" i="1"/>
  <c r="O36" i="1"/>
  <c r="N37" i="1"/>
  <c r="O37" i="1"/>
  <c r="N38" i="1"/>
  <c r="O38" i="1"/>
  <c r="N39" i="1"/>
  <c r="O39" i="1"/>
  <c r="N40" i="1"/>
  <c r="O40" i="1"/>
  <c r="N41" i="1"/>
  <c r="O41" i="1"/>
  <c r="N42" i="1"/>
  <c r="O42" i="1"/>
  <c r="N43" i="1"/>
  <c r="O43" i="1"/>
  <c r="N44" i="1"/>
  <c r="O44" i="1"/>
  <c r="N45" i="1"/>
  <c r="O45" i="1"/>
  <c r="N46" i="1"/>
  <c r="O46" i="1"/>
  <c r="N47" i="1"/>
  <c r="O47" i="1"/>
  <c r="N48" i="1"/>
  <c r="O48" i="1"/>
  <c r="N49" i="1"/>
  <c r="O49" i="1"/>
  <c r="N50" i="1"/>
  <c r="O50" i="1"/>
  <c r="N51" i="1"/>
  <c r="O51" i="1"/>
  <c r="N52" i="1"/>
  <c r="O52" i="1"/>
  <c r="N53" i="1"/>
  <c r="O53" i="1"/>
  <c r="N54" i="1"/>
  <c r="O54" i="1"/>
  <c r="N55" i="1"/>
  <c r="O55" i="1"/>
  <c r="N56" i="1"/>
  <c r="O56" i="1"/>
  <c r="N57" i="1"/>
  <c r="O57" i="1"/>
  <c r="N58" i="1"/>
  <c r="O58" i="1"/>
  <c r="N59" i="1"/>
  <c r="O59" i="1"/>
  <c r="N60" i="1"/>
  <c r="O60" i="1"/>
  <c r="N61" i="1"/>
  <c r="O61" i="1"/>
  <c r="N62" i="1"/>
  <c r="O62" i="1"/>
  <c r="N63" i="1"/>
  <c r="O63" i="1"/>
  <c r="N64" i="1"/>
  <c r="O64" i="1"/>
  <c r="N65" i="1"/>
  <c r="O65" i="1"/>
  <c r="N66" i="1"/>
  <c r="O66" i="1"/>
  <c r="N67" i="1"/>
  <c r="O67" i="1"/>
  <c r="N68" i="1"/>
  <c r="O68" i="1"/>
  <c r="N69" i="1"/>
  <c r="O69" i="1"/>
  <c r="N70" i="1"/>
  <c r="O70" i="1"/>
  <c r="N71" i="1"/>
  <c r="O71" i="1"/>
  <c r="N72" i="1"/>
  <c r="O72" i="1"/>
  <c r="N73" i="1"/>
  <c r="O73" i="1"/>
  <c r="N74" i="1"/>
  <c r="O74" i="1"/>
  <c r="N75" i="1"/>
  <c r="O75" i="1"/>
  <c r="N76" i="1"/>
  <c r="O76" i="1"/>
  <c r="N77" i="1"/>
  <c r="O77" i="1"/>
  <c r="N78" i="1"/>
  <c r="O78" i="1"/>
  <c r="N79" i="1"/>
  <c r="O79" i="1"/>
  <c r="N80" i="1"/>
  <c r="O80" i="1"/>
  <c r="O23" i="1"/>
  <c r="N23" i="1"/>
</calcChain>
</file>

<file path=xl/sharedStrings.xml><?xml version="1.0" encoding="utf-8"?>
<sst xmlns="http://schemas.openxmlformats.org/spreadsheetml/2006/main" count="309" uniqueCount="122">
  <si>
    <t>Наименование</t>
  </si>
  <si>
    <t>Кромка (материал)</t>
  </si>
  <si>
    <t>N п/п</t>
  </si>
  <si>
    <t>Длина</t>
  </si>
  <si>
    <t>Ширина</t>
  </si>
  <si>
    <t>Толщина</t>
  </si>
  <si>
    <t>Кол-во</t>
  </si>
  <si>
    <t>Длина 1</t>
  </si>
  <si>
    <t>Длина 2</t>
  </si>
  <si>
    <t>Ширина1</t>
  </si>
  <si>
    <t>Ширина2</t>
  </si>
  <si>
    <t>Лицевых сторон</t>
  </si>
  <si>
    <t>Примечание</t>
  </si>
  <si>
    <t>Габарит</t>
  </si>
  <si>
    <t>Фасад распашной</t>
  </si>
  <si>
    <t>Нащельник</t>
  </si>
  <si>
    <t>1.1</t>
  </si>
  <si>
    <t>петля</t>
  </si>
  <si>
    <t>1.2</t>
  </si>
  <si>
    <t>Фасад ящика</t>
  </si>
  <si>
    <t>1.3</t>
  </si>
  <si>
    <t xml:space="preserve">Спальня девочки.  Спецификация по деталям </t>
  </si>
  <si>
    <t>1.4</t>
  </si>
  <si>
    <t>МДФ 18 шпон</t>
  </si>
  <si>
    <t>шпон</t>
  </si>
  <si>
    <t>1.5</t>
  </si>
  <si>
    <t>1.6</t>
  </si>
  <si>
    <t>1.7</t>
  </si>
  <si>
    <t>1.8</t>
  </si>
  <si>
    <t>1.9</t>
  </si>
  <si>
    <t>Боковая стенка</t>
  </si>
  <si>
    <t>Паз под заднюю стенку</t>
  </si>
  <si>
    <t>1.10</t>
  </si>
  <si>
    <t>Фасад откидной</t>
  </si>
  <si>
    <t>1.11</t>
  </si>
  <si>
    <t>1.12</t>
  </si>
  <si>
    <t>Столешница</t>
  </si>
  <si>
    <t>18</t>
  </si>
  <si>
    <t>1</t>
  </si>
  <si>
    <t>ДСП Egger U750 ST9 Ярко-серый, 2800х2070х18мм + Кромка [1=0,5мм;] [2=2мм;] [3=0,8мм;]</t>
  </si>
  <si>
    <t>2.1</t>
  </si>
  <si>
    <t>2.2</t>
  </si>
  <si>
    <t>2.3</t>
  </si>
  <si>
    <t>Бок секции</t>
  </si>
  <si>
    <t>776.5</t>
  </si>
  <si>
    <t>358</t>
  </si>
  <si>
    <t>Д</t>
  </si>
  <si>
    <t>Ш</t>
  </si>
  <si>
    <t>Дно секции</t>
  </si>
  <si>
    <t>580.5</t>
  </si>
  <si>
    <t>563</t>
  </si>
  <si>
    <t>97.5</t>
  </si>
  <si>
    <t>2.4</t>
  </si>
  <si>
    <t>99.5</t>
  </si>
  <si>
    <t>2.5</t>
  </si>
  <si>
    <t>560</t>
  </si>
  <si>
    <t>342.5</t>
  </si>
  <si>
    <t>3.1</t>
  </si>
  <si>
    <t>3.2</t>
  </si>
  <si>
    <t>724</t>
  </si>
  <si>
    <t>353</t>
  </si>
  <si>
    <t>741.5</t>
  </si>
  <si>
    <t>Переборка</t>
  </si>
  <si>
    <t>599</t>
  </si>
  <si>
    <t>3.3</t>
  </si>
  <si>
    <t>3.4</t>
  </si>
  <si>
    <t>564</t>
  </si>
  <si>
    <t>3.5</t>
  </si>
  <si>
    <t>3.6</t>
  </si>
  <si>
    <t>431</t>
  </si>
  <si>
    <t>325</t>
  </si>
  <si>
    <t>Четверть под направляющую</t>
  </si>
  <si>
    <t>Дно ящика (2 шт)</t>
  </si>
  <si>
    <t>Стойка</t>
  </si>
  <si>
    <t>Бок секции (2 шт)</t>
  </si>
  <si>
    <t>Полка перекладная (2 шт)</t>
  </si>
  <si>
    <t>3.7</t>
  </si>
  <si>
    <t>Задняя стенка ящика (2 шт)</t>
  </si>
  <si>
    <t>419</t>
  </si>
  <si>
    <t>116.5</t>
  </si>
  <si>
    <t>4.1</t>
  </si>
  <si>
    <t>4.2</t>
  </si>
  <si>
    <t>4.3</t>
  </si>
  <si>
    <t>4.4</t>
  </si>
  <si>
    <t>4.5</t>
  </si>
  <si>
    <t>561</t>
  </si>
  <si>
    <t>5.1</t>
  </si>
  <si>
    <t>498</t>
  </si>
  <si>
    <t>5.2</t>
  </si>
  <si>
    <t>500</t>
  </si>
  <si>
    <t>5.3</t>
  </si>
  <si>
    <t>898</t>
  </si>
  <si>
    <t>5.4</t>
  </si>
  <si>
    <t>863</t>
  </si>
  <si>
    <t>77.5</t>
  </si>
  <si>
    <t>Переборка (2 шт)</t>
  </si>
  <si>
    <t>5.5</t>
  </si>
  <si>
    <t>759</t>
  </si>
  <si>
    <t>293</t>
  </si>
  <si>
    <t>6.1</t>
  </si>
  <si>
    <t>518</t>
  </si>
  <si>
    <t>6.2</t>
  </si>
  <si>
    <t>299</t>
  </si>
  <si>
    <t>6.3</t>
  </si>
  <si>
    <t>6.4</t>
  </si>
  <si>
    <t>264</t>
  </si>
  <si>
    <t>6.5</t>
  </si>
  <si>
    <t>6.6</t>
  </si>
  <si>
    <t>189</t>
  </si>
  <si>
    <t>475</t>
  </si>
  <si>
    <t>177</t>
  </si>
  <si>
    <t>7.1</t>
  </si>
  <si>
    <t>7.2</t>
  </si>
  <si>
    <t>7.3</t>
  </si>
  <si>
    <t>Полка (2 шт)</t>
  </si>
  <si>
    <t>7.4</t>
  </si>
  <si>
    <t>7.5</t>
  </si>
  <si>
    <t>7.6</t>
  </si>
  <si>
    <t>489</t>
  </si>
  <si>
    <t>7.7</t>
  </si>
  <si>
    <t>477</t>
  </si>
  <si>
    <t>81.5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</si>
</sst>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3F8D4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wrapText="1"/>
    </xf>
    <xf numFmtId="0" fontId="0" fillId="0" borderId="2" xfId="0" applyFill="1" applyBorder="1" applyAlignment="1">
      <alignment horizontal="center"/>
    </xf>
    <xf numFmtId="0" fontId="0" fillId="0" borderId="3" xfId="0" applyFill="1" applyBorder="1" applyAlignment="1">
      <alignment horizontal="center" vertical="center"/>
    </xf>
    <xf numFmtId="0" fontId="0" fillId="0" borderId="3" xfId="0" applyFill="1" applyBorder="1" applyAlignment="1">
      <alignment horizontal="center" wrapText="1"/>
    </xf>
    <xf numFmtId="0" fontId="0" fillId="0" borderId="4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6" xfId="0" applyFill="1" applyBorder="1" applyAlignment="1">
      <alignment horizontal="center" vertical="center"/>
    </xf>
    <xf numFmtId="0" fontId="0" fillId="0" borderId="6" xfId="0" applyFill="1" applyBorder="1" applyAlignment="1">
      <alignment horizontal="center"/>
    </xf>
    <xf numFmtId="0" fontId="0" fillId="0" borderId="6" xfId="0" applyFill="1" applyBorder="1" applyAlignment="1">
      <alignment horizontal="center" wrapText="1"/>
    </xf>
    <xf numFmtId="0" fontId="0" fillId="0" borderId="7" xfId="0" applyFill="1" applyBorder="1" applyAlignment="1">
      <alignment horizontal="center"/>
    </xf>
    <xf numFmtId="49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3" xfId="0" applyFill="1" applyBorder="1" applyAlignment="1">
      <alignment horizontal="center"/>
    </xf>
    <xf numFmtId="49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wrapText="1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wrapText="1"/>
    </xf>
    <xf numFmtId="0" fontId="0" fillId="0" borderId="3" xfId="0" applyFill="1" applyBorder="1" applyAlignment="1">
      <alignment horizontal="center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left" vertical="center"/>
    </xf>
    <xf numFmtId="1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1" xfId="0" applyFont="1" applyFill="1" applyBorder="1" applyAlignment="1"/>
    <xf numFmtId="0" fontId="0" fillId="0" borderId="1" xfId="0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1" xfId="0" applyBorder="1" applyAlignment="1">
      <alignment wrapText="1"/>
    </xf>
    <xf numFmtId="164" fontId="0" fillId="2" borderId="1" xfId="0" applyNumberFormat="1" applyFill="1" applyBorder="1" applyAlignment="1">
      <alignment horizontal="center" vertical="center"/>
    </xf>
    <xf numFmtId="0" fontId="0" fillId="2" borderId="1" xfId="0" applyNumberFormat="1" applyFill="1" applyBorder="1" applyAlignment="1">
      <alignment horizontal="center" vertical="center"/>
    </xf>
    <xf numFmtId="0" fontId="0" fillId="2" borderId="1" xfId="0" applyFill="1" applyBorder="1"/>
    <xf numFmtId="49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/>
    </xf>
    <xf numFmtId="49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/>
    <xf numFmtId="164" fontId="0" fillId="3" borderId="1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164" fontId="0" fillId="2" borderId="1" xfId="0" applyNumberFormat="1" applyFill="1" applyBorder="1"/>
    <xf numFmtId="164" fontId="0" fillId="3" borderId="1" xfId="0" applyNumberFormat="1" applyFill="1" applyBorder="1"/>
    <xf numFmtId="0" fontId="1" fillId="0" borderId="0" xfId="0" applyFont="1" applyFill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1" fillId="0" borderId="0" xfId="0" applyFont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3F8D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0"/>
  <sheetViews>
    <sheetView tabSelected="1" topLeftCell="A39" zoomScaleNormal="100" workbookViewId="0">
      <selection activeCell="H61" sqref="H61"/>
    </sheetView>
  </sheetViews>
  <sheetFormatPr defaultRowHeight="14.4" x14ac:dyDescent="0.3"/>
  <cols>
    <col min="1" max="1" width="9.109375" bestFit="1" customWidth="1"/>
    <col min="2" max="2" width="29.33203125" style="3" bestFit="1" customWidth="1"/>
    <col min="3" max="4" width="8.6640625" bestFit="1" customWidth="1"/>
    <col min="5" max="5" width="9.109375" customWidth="1"/>
    <col min="6" max="6" width="7.33203125" bestFit="1" customWidth="1"/>
    <col min="7" max="10" width="11.6640625" bestFit="1" customWidth="1"/>
    <col min="11" max="11" width="30.33203125" style="4" customWidth="1"/>
    <col min="12" max="12" width="16" bestFit="1" customWidth="1"/>
  </cols>
  <sheetData>
    <row r="1" spans="1:28" ht="15" customHeight="1" x14ac:dyDescent="0.3">
      <c r="A1" s="52" t="s">
        <v>21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</row>
    <row r="2" spans="1:28" ht="15" thickBot="1" x14ac:dyDescent="0.35"/>
    <row r="3" spans="1:28" x14ac:dyDescent="0.3">
      <c r="A3" s="5" t="s">
        <v>2</v>
      </c>
      <c r="B3" s="6" t="s">
        <v>0</v>
      </c>
      <c r="C3" s="18" t="s">
        <v>3</v>
      </c>
      <c r="D3" s="18" t="s">
        <v>4</v>
      </c>
      <c r="E3" s="18" t="s">
        <v>5</v>
      </c>
      <c r="F3" s="18" t="s">
        <v>6</v>
      </c>
      <c r="G3" s="51" t="s">
        <v>1</v>
      </c>
      <c r="H3" s="51"/>
      <c r="I3" s="51"/>
      <c r="J3" s="51"/>
      <c r="K3" s="7" t="s">
        <v>12</v>
      </c>
      <c r="L3" s="8" t="s">
        <v>11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5" thickBot="1" x14ac:dyDescent="0.35">
      <c r="A4" s="9"/>
      <c r="B4" s="10"/>
      <c r="C4" s="11" t="s">
        <v>13</v>
      </c>
      <c r="D4" s="11" t="s">
        <v>13</v>
      </c>
      <c r="E4" s="11"/>
      <c r="F4" s="11"/>
      <c r="G4" s="11" t="s">
        <v>7</v>
      </c>
      <c r="H4" s="11" t="s">
        <v>8</v>
      </c>
      <c r="I4" s="11" t="s">
        <v>9</v>
      </c>
      <c r="J4" s="11" t="s">
        <v>10</v>
      </c>
      <c r="K4" s="12"/>
      <c r="L4" s="13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x14ac:dyDescent="0.3">
      <c r="A5" s="49" t="s">
        <v>23</v>
      </c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</row>
    <row r="6" spans="1:28" x14ac:dyDescent="0.3">
      <c r="A6" s="19" t="s">
        <v>16</v>
      </c>
      <c r="B6" s="20" t="s">
        <v>14</v>
      </c>
      <c r="C6" s="21">
        <v>791</v>
      </c>
      <c r="D6" s="21">
        <v>597</v>
      </c>
      <c r="E6" s="21">
        <v>19</v>
      </c>
      <c r="F6" s="21">
        <v>1</v>
      </c>
      <c r="G6" s="2" t="s">
        <v>24</v>
      </c>
      <c r="H6" s="2" t="s">
        <v>24</v>
      </c>
      <c r="I6" s="2" t="s">
        <v>24</v>
      </c>
      <c r="J6" s="2" t="s">
        <v>24</v>
      </c>
      <c r="K6" s="22" t="s">
        <v>17</v>
      </c>
      <c r="L6" s="21">
        <v>2</v>
      </c>
    </row>
    <row r="7" spans="1:28" x14ac:dyDescent="0.3">
      <c r="A7" s="19" t="s">
        <v>18</v>
      </c>
      <c r="B7" s="20" t="s">
        <v>14</v>
      </c>
      <c r="C7" s="23">
        <v>756</v>
      </c>
      <c r="D7" s="23">
        <v>598</v>
      </c>
      <c r="E7" s="23">
        <v>19</v>
      </c>
      <c r="F7" s="23">
        <v>1</v>
      </c>
      <c r="G7" s="2" t="s">
        <v>24</v>
      </c>
      <c r="H7" s="2" t="s">
        <v>24</v>
      </c>
      <c r="I7" s="2" t="s">
        <v>24</v>
      </c>
      <c r="J7" s="2" t="s">
        <v>24</v>
      </c>
      <c r="K7" s="22" t="s">
        <v>17</v>
      </c>
      <c r="L7" s="23">
        <v>2</v>
      </c>
    </row>
    <row r="8" spans="1:28" x14ac:dyDescent="0.3">
      <c r="A8" s="19" t="s">
        <v>20</v>
      </c>
      <c r="B8" s="20" t="s">
        <v>14</v>
      </c>
      <c r="C8" s="23">
        <v>756</v>
      </c>
      <c r="D8" s="23">
        <v>597</v>
      </c>
      <c r="E8" s="23">
        <v>19</v>
      </c>
      <c r="F8" s="23">
        <v>1</v>
      </c>
      <c r="G8" s="2" t="s">
        <v>24</v>
      </c>
      <c r="H8" s="2" t="s">
        <v>24</v>
      </c>
      <c r="I8" s="2" t="s">
        <v>24</v>
      </c>
      <c r="J8" s="2" t="s">
        <v>24</v>
      </c>
      <c r="K8" s="22" t="s">
        <v>17</v>
      </c>
      <c r="L8" s="23">
        <v>2</v>
      </c>
    </row>
    <row r="9" spans="1:28" x14ac:dyDescent="0.3">
      <c r="A9" s="19" t="s">
        <v>22</v>
      </c>
      <c r="B9" s="20" t="s">
        <v>15</v>
      </c>
      <c r="C9" s="23">
        <v>760</v>
      </c>
      <c r="D9" s="23">
        <v>31</v>
      </c>
      <c r="E9" s="23">
        <v>19</v>
      </c>
      <c r="F9" s="23">
        <v>1</v>
      </c>
      <c r="G9" s="2" t="s">
        <v>24</v>
      </c>
      <c r="H9" s="2" t="s">
        <v>24</v>
      </c>
      <c r="I9" s="2" t="s">
        <v>24</v>
      </c>
      <c r="J9" s="2" t="s">
        <v>24</v>
      </c>
      <c r="K9" s="22"/>
      <c r="L9" s="23">
        <v>2</v>
      </c>
    </row>
    <row r="10" spans="1:28" x14ac:dyDescent="0.3">
      <c r="A10" s="19" t="s">
        <v>25</v>
      </c>
      <c r="B10" s="20" t="s">
        <v>15</v>
      </c>
      <c r="C10" s="23">
        <v>760</v>
      </c>
      <c r="D10" s="23">
        <v>50</v>
      </c>
      <c r="E10" s="23">
        <v>19</v>
      </c>
      <c r="F10" s="23">
        <v>1</v>
      </c>
      <c r="G10" s="2" t="s">
        <v>24</v>
      </c>
      <c r="H10" s="2" t="s">
        <v>24</v>
      </c>
      <c r="I10" s="2" t="s">
        <v>24</v>
      </c>
      <c r="J10" s="2" t="s">
        <v>24</v>
      </c>
      <c r="K10" s="22"/>
      <c r="L10" s="23">
        <v>2</v>
      </c>
    </row>
    <row r="11" spans="1:28" x14ac:dyDescent="0.3">
      <c r="A11" s="19" t="s">
        <v>26</v>
      </c>
      <c r="B11" s="20" t="s">
        <v>14</v>
      </c>
      <c r="C11" s="23">
        <v>756</v>
      </c>
      <c r="D11" s="23">
        <v>552</v>
      </c>
      <c r="E11" s="23">
        <v>19</v>
      </c>
      <c r="F11" s="23">
        <v>1</v>
      </c>
      <c r="G11" s="2" t="s">
        <v>24</v>
      </c>
      <c r="H11" s="2" t="s">
        <v>24</v>
      </c>
      <c r="I11" s="2" t="s">
        <v>24</v>
      </c>
      <c r="J11" s="2" t="s">
        <v>24</v>
      </c>
      <c r="K11" s="22" t="s">
        <v>17</v>
      </c>
      <c r="L11" s="23">
        <v>2</v>
      </c>
    </row>
    <row r="12" spans="1:28" x14ac:dyDescent="0.3">
      <c r="A12" s="19" t="s">
        <v>27</v>
      </c>
      <c r="B12" s="20" t="s">
        <v>19</v>
      </c>
      <c r="C12" s="23">
        <v>756</v>
      </c>
      <c r="D12" s="23">
        <v>228</v>
      </c>
      <c r="E12" s="23">
        <v>19</v>
      </c>
      <c r="F12" s="23">
        <v>1</v>
      </c>
      <c r="G12" s="2" t="s">
        <v>24</v>
      </c>
      <c r="H12" s="2" t="s">
        <v>24</v>
      </c>
      <c r="I12" s="2" t="s">
        <v>24</v>
      </c>
      <c r="J12" s="2" t="s">
        <v>24</v>
      </c>
      <c r="K12" s="22" t="s">
        <v>17</v>
      </c>
      <c r="L12" s="23">
        <v>2</v>
      </c>
    </row>
    <row r="13" spans="1:28" x14ac:dyDescent="0.3">
      <c r="A13" s="19" t="s">
        <v>28</v>
      </c>
      <c r="B13" s="20" t="s">
        <v>19</v>
      </c>
      <c r="C13" s="23">
        <v>146</v>
      </c>
      <c r="D13" s="23">
        <v>597</v>
      </c>
      <c r="E13" s="23">
        <v>19</v>
      </c>
      <c r="F13" s="23">
        <v>2</v>
      </c>
      <c r="G13" s="2" t="s">
        <v>24</v>
      </c>
      <c r="H13" s="2" t="s">
        <v>24</v>
      </c>
      <c r="I13" s="2" t="s">
        <v>24</v>
      </c>
      <c r="J13" s="2" t="s">
        <v>24</v>
      </c>
      <c r="K13" s="22" t="s">
        <v>17</v>
      </c>
      <c r="L13" s="23">
        <v>2</v>
      </c>
    </row>
    <row r="14" spans="1:28" x14ac:dyDescent="0.3">
      <c r="A14" s="19" t="s">
        <v>29</v>
      </c>
      <c r="B14" s="20" t="s">
        <v>30</v>
      </c>
      <c r="C14" s="23">
        <v>895</v>
      </c>
      <c r="D14" s="23">
        <v>380</v>
      </c>
      <c r="E14" s="23">
        <v>19</v>
      </c>
      <c r="F14" s="23">
        <v>1</v>
      </c>
      <c r="G14" s="2" t="s">
        <v>24</v>
      </c>
      <c r="H14" s="2" t="s">
        <v>24</v>
      </c>
      <c r="I14" s="2" t="s">
        <v>24</v>
      </c>
      <c r="J14" s="2" t="s">
        <v>24</v>
      </c>
      <c r="K14" s="22" t="s">
        <v>31</v>
      </c>
      <c r="L14" s="23">
        <v>2</v>
      </c>
    </row>
    <row r="15" spans="1:28" x14ac:dyDescent="0.3">
      <c r="A15" s="19" t="s">
        <v>32</v>
      </c>
      <c r="B15" s="20" t="s">
        <v>33</v>
      </c>
      <c r="C15" s="23">
        <v>598</v>
      </c>
      <c r="D15" s="23">
        <v>897</v>
      </c>
      <c r="E15" s="23">
        <v>19</v>
      </c>
      <c r="F15" s="23">
        <v>2</v>
      </c>
      <c r="G15" s="2" t="s">
        <v>24</v>
      </c>
      <c r="H15" s="2" t="s">
        <v>24</v>
      </c>
      <c r="I15" s="2" t="s">
        <v>24</v>
      </c>
      <c r="J15" s="2" t="s">
        <v>24</v>
      </c>
      <c r="K15" s="22"/>
      <c r="L15" s="23">
        <v>2</v>
      </c>
    </row>
    <row r="16" spans="1:28" x14ac:dyDescent="0.3">
      <c r="A16" s="19" t="s">
        <v>34</v>
      </c>
      <c r="B16" s="20" t="s">
        <v>33</v>
      </c>
      <c r="C16" s="23">
        <v>600</v>
      </c>
      <c r="D16" s="23">
        <v>42</v>
      </c>
      <c r="E16" s="23">
        <v>19</v>
      </c>
      <c r="F16" s="23">
        <v>2</v>
      </c>
      <c r="G16" s="2" t="s">
        <v>24</v>
      </c>
      <c r="H16" s="2" t="s">
        <v>24</v>
      </c>
      <c r="I16" s="2" t="s">
        <v>24</v>
      </c>
      <c r="J16" s="2" t="s">
        <v>24</v>
      </c>
      <c r="K16" s="22"/>
      <c r="L16" s="23">
        <v>2</v>
      </c>
    </row>
    <row r="17" spans="1:15" x14ac:dyDescent="0.3">
      <c r="A17" s="19" t="s">
        <v>35</v>
      </c>
      <c r="B17" s="20" t="s">
        <v>36</v>
      </c>
      <c r="C17" s="23">
        <v>1650</v>
      </c>
      <c r="D17" s="23">
        <v>600</v>
      </c>
      <c r="E17" s="23">
        <v>60</v>
      </c>
      <c r="F17" s="23">
        <v>1</v>
      </c>
      <c r="G17" s="2" t="s">
        <v>24</v>
      </c>
      <c r="H17" s="2" t="s">
        <v>24</v>
      </c>
      <c r="I17" s="2" t="s">
        <v>24</v>
      </c>
      <c r="J17" s="2" t="s">
        <v>24</v>
      </c>
      <c r="K17" s="22"/>
      <c r="L17" s="23">
        <v>2</v>
      </c>
    </row>
    <row r="18" spans="1:15" x14ac:dyDescent="0.3">
      <c r="A18" s="14"/>
      <c r="B18" s="15"/>
      <c r="C18" s="16"/>
      <c r="D18" s="16"/>
      <c r="E18" s="16"/>
      <c r="F18" s="16"/>
      <c r="G18" s="17"/>
      <c r="H18" s="17"/>
      <c r="I18" s="17"/>
      <c r="J18" s="17"/>
      <c r="K18" s="24"/>
      <c r="L18" s="16"/>
    </row>
    <row r="19" spans="1:15" x14ac:dyDescent="0.3">
      <c r="A19" s="14"/>
      <c r="B19" s="15"/>
      <c r="C19" s="16"/>
      <c r="D19" s="16"/>
      <c r="E19" s="16"/>
      <c r="F19" s="16"/>
      <c r="G19" s="17"/>
      <c r="H19" s="17"/>
      <c r="I19" s="17"/>
      <c r="J19" s="17"/>
      <c r="K19" s="24"/>
      <c r="L19" s="16"/>
    </row>
    <row r="20" spans="1:15" ht="15" thickBot="1" x14ac:dyDescent="0.35">
      <c r="A20" s="50" t="s">
        <v>39</v>
      </c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</row>
    <row r="21" spans="1:15" x14ac:dyDescent="0.3">
      <c r="A21" s="5" t="s">
        <v>2</v>
      </c>
      <c r="B21" s="6" t="s">
        <v>0</v>
      </c>
      <c r="C21" s="25" t="s">
        <v>3</v>
      </c>
      <c r="D21" s="25" t="s">
        <v>4</v>
      </c>
      <c r="E21" s="25" t="s">
        <v>5</v>
      </c>
      <c r="F21" s="25" t="s">
        <v>6</v>
      </c>
      <c r="G21" s="51" t="s">
        <v>1</v>
      </c>
      <c r="H21" s="51"/>
      <c r="I21" s="51"/>
      <c r="J21" s="51"/>
      <c r="K21" s="7" t="s">
        <v>12</v>
      </c>
      <c r="L21" s="8" t="s">
        <v>11</v>
      </c>
    </row>
    <row r="22" spans="1:15" ht="15" thickBot="1" x14ac:dyDescent="0.35">
      <c r="A22" s="9"/>
      <c r="B22" s="10"/>
      <c r="C22" s="11" t="s">
        <v>13</v>
      </c>
      <c r="D22" s="11" t="s">
        <v>13</v>
      </c>
      <c r="E22" s="11"/>
      <c r="F22" s="11"/>
      <c r="G22" s="11" t="s">
        <v>7</v>
      </c>
      <c r="H22" s="11" t="s">
        <v>8</v>
      </c>
      <c r="I22" s="11" t="s">
        <v>9</v>
      </c>
      <c r="J22" s="11" t="s">
        <v>10</v>
      </c>
      <c r="K22" s="12"/>
      <c r="L22" s="13"/>
      <c r="N22" s="30" t="s">
        <v>46</v>
      </c>
      <c r="O22" s="30" t="s">
        <v>47</v>
      </c>
    </row>
    <row r="23" spans="1:15" x14ac:dyDescent="0.3">
      <c r="A23" s="26" t="s">
        <v>40</v>
      </c>
      <c r="B23" s="27" t="s">
        <v>43</v>
      </c>
      <c r="C23" s="39" t="s">
        <v>44</v>
      </c>
      <c r="D23" s="42" t="s">
        <v>45</v>
      </c>
      <c r="E23" s="26" t="s">
        <v>37</v>
      </c>
      <c r="F23" s="28" t="s">
        <v>38</v>
      </c>
      <c r="G23" s="45">
        <v>2</v>
      </c>
      <c r="H23" s="45"/>
      <c r="I23" s="36">
        <v>0.5</v>
      </c>
      <c r="J23" s="36"/>
      <c r="K23" s="29"/>
      <c r="L23" s="26"/>
      <c r="N23" s="41">
        <f>C23+I23+J23</f>
        <v>777</v>
      </c>
      <c r="O23" s="41">
        <f>D23+G23+H23</f>
        <v>360</v>
      </c>
    </row>
    <row r="24" spans="1:15" x14ac:dyDescent="0.3">
      <c r="A24" s="26" t="s">
        <v>41</v>
      </c>
      <c r="B24" s="27" t="s">
        <v>48</v>
      </c>
      <c r="C24" s="39" t="s">
        <v>49</v>
      </c>
      <c r="D24" s="42" t="s">
        <v>45</v>
      </c>
      <c r="E24" s="26" t="s">
        <v>37</v>
      </c>
      <c r="F24" s="28" t="s">
        <v>38</v>
      </c>
      <c r="G24" s="45">
        <v>2</v>
      </c>
      <c r="H24" s="45"/>
      <c r="I24" s="36">
        <v>0.5</v>
      </c>
      <c r="J24" s="36"/>
      <c r="K24" s="29"/>
      <c r="L24" s="26"/>
      <c r="N24" s="41">
        <f t="shared" ref="N24:N80" si="0">C24+I24+J24</f>
        <v>581</v>
      </c>
      <c r="O24" s="41">
        <f t="shared" ref="O24:O80" si="1">D24+G24+H24</f>
        <v>360</v>
      </c>
    </row>
    <row r="25" spans="1:15" x14ac:dyDescent="0.3">
      <c r="A25" s="26" t="s">
        <v>42</v>
      </c>
      <c r="B25" s="27" t="s">
        <v>62</v>
      </c>
      <c r="C25" s="39" t="s">
        <v>50</v>
      </c>
      <c r="D25" s="42" t="s">
        <v>51</v>
      </c>
      <c r="E25" s="26" t="s">
        <v>37</v>
      </c>
      <c r="F25" s="28" t="s">
        <v>38</v>
      </c>
      <c r="G25" s="45">
        <v>2</v>
      </c>
      <c r="H25" s="45">
        <v>0.5</v>
      </c>
      <c r="I25" s="36"/>
      <c r="J25" s="36"/>
      <c r="K25" s="29"/>
      <c r="L25" s="26"/>
      <c r="N25" s="41">
        <f t="shared" si="0"/>
        <v>563</v>
      </c>
      <c r="O25" s="41">
        <f t="shared" si="1"/>
        <v>100</v>
      </c>
    </row>
    <row r="26" spans="1:15" x14ac:dyDescent="0.3">
      <c r="A26" s="26" t="s">
        <v>52</v>
      </c>
      <c r="B26" s="27" t="s">
        <v>62</v>
      </c>
      <c r="C26" s="39" t="s">
        <v>50</v>
      </c>
      <c r="D26" s="42" t="s">
        <v>53</v>
      </c>
      <c r="E26" s="26" t="s">
        <v>37</v>
      </c>
      <c r="F26" s="28" t="s">
        <v>38</v>
      </c>
      <c r="G26" s="45"/>
      <c r="H26" s="45">
        <v>0.5</v>
      </c>
      <c r="I26" s="36"/>
      <c r="J26" s="36"/>
      <c r="K26" s="22"/>
      <c r="L26" s="23"/>
      <c r="N26" s="41">
        <f t="shared" si="0"/>
        <v>563</v>
      </c>
      <c r="O26" s="41">
        <f t="shared" si="1"/>
        <v>100</v>
      </c>
    </row>
    <row r="27" spans="1:15" x14ac:dyDescent="0.3">
      <c r="A27" s="26" t="s">
        <v>54</v>
      </c>
      <c r="B27" s="27" t="s">
        <v>75</v>
      </c>
      <c r="C27" s="39" t="s">
        <v>55</v>
      </c>
      <c r="D27" s="42" t="s">
        <v>56</v>
      </c>
      <c r="E27" s="26" t="s">
        <v>37</v>
      </c>
      <c r="F27" s="28">
        <v>2</v>
      </c>
      <c r="G27" s="45">
        <v>2</v>
      </c>
      <c r="H27" s="45">
        <v>0.5</v>
      </c>
      <c r="I27" s="36">
        <v>0.5</v>
      </c>
      <c r="J27" s="36">
        <v>0.5</v>
      </c>
      <c r="K27" s="22"/>
      <c r="L27" s="23"/>
      <c r="N27" s="41">
        <f t="shared" si="0"/>
        <v>561</v>
      </c>
      <c r="O27" s="41">
        <f t="shared" si="1"/>
        <v>345</v>
      </c>
    </row>
    <row r="28" spans="1:15" x14ac:dyDescent="0.3">
      <c r="A28" s="26" t="s">
        <v>57</v>
      </c>
      <c r="B28" s="27" t="s">
        <v>74</v>
      </c>
      <c r="C28" s="39" t="s">
        <v>61</v>
      </c>
      <c r="D28" s="42" t="s">
        <v>45</v>
      </c>
      <c r="E28" s="26" t="s">
        <v>37</v>
      </c>
      <c r="F28" s="28">
        <v>2</v>
      </c>
      <c r="G28" s="45">
        <v>2</v>
      </c>
      <c r="H28" s="45"/>
      <c r="I28" s="36">
        <v>0.5</v>
      </c>
      <c r="J28" s="36"/>
      <c r="K28" s="31"/>
      <c r="L28" s="31"/>
      <c r="N28" s="41">
        <f t="shared" si="0"/>
        <v>742</v>
      </c>
      <c r="O28" s="41">
        <f t="shared" si="1"/>
        <v>360</v>
      </c>
    </row>
    <row r="29" spans="1:15" x14ac:dyDescent="0.3">
      <c r="A29" s="26" t="s">
        <v>58</v>
      </c>
      <c r="B29" s="27" t="s">
        <v>73</v>
      </c>
      <c r="C29" s="39" t="s">
        <v>59</v>
      </c>
      <c r="D29" s="42" t="s">
        <v>60</v>
      </c>
      <c r="E29" s="26" t="s">
        <v>37</v>
      </c>
      <c r="F29" s="28">
        <v>1</v>
      </c>
      <c r="G29" s="45">
        <v>2</v>
      </c>
      <c r="H29" s="45"/>
      <c r="I29" s="36"/>
      <c r="J29" s="36"/>
      <c r="K29" s="22"/>
      <c r="L29" s="23"/>
      <c r="N29" s="41">
        <f t="shared" si="0"/>
        <v>724</v>
      </c>
      <c r="O29" s="41">
        <f t="shared" si="1"/>
        <v>355</v>
      </c>
    </row>
    <row r="30" spans="1:15" x14ac:dyDescent="0.3">
      <c r="A30" s="26" t="s">
        <v>64</v>
      </c>
      <c r="B30" s="27" t="s">
        <v>48</v>
      </c>
      <c r="C30" s="39" t="s">
        <v>63</v>
      </c>
      <c r="D30" s="42" t="s">
        <v>45</v>
      </c>
      <c r="E30" s="26" t="s">
        <v>37</v>
      </c>
      <c r="F30" s="28" t="s">
        <v>38</v>
      </c>
      <c r="G30" s="45">
        <v>2</v>
      </c>
      <c r="H30" s="45"/>
      <c r="I30" s="36">
        <v>0.5</v>
      </c>
      <c r="J30" s="36">
        <v>0.5</v>
      </c>
      <c r="K30" s="22"/>
      <c r="L30" s="23"/>
      <c r="N30" s="41">
        <f t="shared" si="0"/>
        <v>600</v>
      </c>
      <c r="O30" s="41">
        <f t="shared" si="1"/>
        <v>360</v>
      </c>
    </row>
    <row r="31" spans="1:15" x14ac:dyDescent="0.3">
      <c r="A31" s="26" t="s">
        <v>65</v>
      </c>
      <c r="B31" s="27" t="s">
        <v>62</v>
      </c>
      <c r="C31" s="39" t="s">
        <v>66</v>
      </c>
      <c r="D31" s="42" t="s">
        <v>51</v>
      </c>
      <c r="E31" s="26" t="s">
        <v>37</v>
      </c>
      <c r="F31" s="28" t="s">
        <v>38</v>
      </c>
      <c r="G31" s="45">
        <v>2</v>
      </c>
      <c r="H31" s="45">
        <v>0.5</v>
      </c>
      <c r="I31" s="36"/>
      <c r="J31" s="36"/>
      <c r="K31" s="22"/>
      <c r="L31" s="23"/>
      <c r="N31" s="41">
        <f t="shared" si="0"/>
        <v>564</v>
      </c>
      <c r="O31" s="41">
        <f t="shared" si="1"/>
        <v>100</v>
      </c>
    </row>
    <row r="32" spans="1:15" x14ac:dyDescent="0.3">
      <c r="A32" s="26" t="s">
        <v>67</v>
      </c>
      <c r="B32" s="27" t="s">
        <v>62</v>
      </c>
      <c r="C32" s="39" t="s">
        <v>66</v>
      </c>
      <c r="D32" s="42" t="s">
        <v>53</v>
      </c>
      <c r="E32" s="26" t="s">
        <v>37</v>
      </c>
      <c r="F32" s="28" t="s">
        <v>38</v>
      </c>
      <c r="G32" s="45"/>
      <c r="H32" s="45">
        <v>0.5</v>
      </c>
      <c r="I32" s="36"/>
      <c r="J32" s="36"/>
      <c r="K32" s="22"/>
      <c r="L32" s="23"/>
      <c r="N32" s="41">
        <f t="shared" si="0"/>
        <v>564</v>
      </c>
      <c r="O32" s="41">
        <f t="shared" si="1"/>
        <v>100</v>
      </c>
    </row>
    <row r="33" spans="1:15" x14ac:dyDescent="0.3">
      <c r="A33" s="26" t="s">
        <v>68</v>
      </c>
      <c r="B33" s="27" t="s">
        <v>72</v>
      </c>
      <c r="C33" s="39" t="s">
        <v>69</v>
      </c>
      <c r="D33" s="42" t="s">
        <v>70</v>
      </c>
      <c r="E33" s="26" t="s">
        <v>37</v>
      </c>
      <c r="F33" s="28">
        <v>2</v>
      </c>
      <c r="G33" s="45">
        <v>0.5</v>
      </c>
      <c r="H33" s="45">
        <v>0.5</v>
      </c>
      <c r="I33" s="36"/>
      <c r="J33" s="36"/>
      <c r="K33" s="22" t="s">
        <v>71</v>
      </c>
      <c r="L33" s="23"/>
      <c r="N33" s="41">
        <f t="shared" si="0"/>
        <v>431</v>
      </c>
      <c r="O33" s="41">
        <f t="shared" si="1"/>
        <v>326</v>
      </c>
    </row>
    <row r="34" spans="1:15" x14ac:dyDescent="0.3">
      <c r="A34" s="26" t="s">
        <v>76</v>
      </c>
      <c r="B34" s="27" t="s">
        <v>77</v>
      </c>
      <c r="C34" s="39" t="s">
        <v>78</v>
      </c>
      <c r="D34" s="42" t="s">
        <v>79</v>
      </c>
      <c r="E34" s="26" t="s">
        <v>37</v>
      </c>
      <c r="F34" s="28">
        <v>2</v>
      </c>
      <c r="G34" s="45">
        <v>2</v>
      </c>
      <c r="H34" s="45">
        <v>0.5</v>
      </c>
      <c r="I34" s="36"/>
      <c r="J34" s="36"/>
      <c r="K34" s="31"/>
      <c r="L34" s="31"/>
      <c r="N34" s="41">
        <f t="shared" si="0"/>
        <v>419</v>
      </c>
      <c r="O34" s="41">
        <f t="shared" si="1"/>
        <v>119</v>
      </c>
    </row>
    <row r="35" spans="1:15" x14ac:dyDescent="0.3">
      <c r="A35" s="26" t="s">
        <v>80</v>
      </c>
      <c r="B35" s="27" t="s">
        <v>74</v>
      </c>
      <c r="C35" s="39" t="s">
        <v>61</v>
      </c>
      <c r="D35" s="42" t="s">
        <v>45</v>
      </c>
      <c r="E35" s="26" t="s">
        <v>37</v>
      </c>
      <c r="F35" s="28">
        <v>2</v>
      </c>
      <c r="G35" s="45">
        <v>2</v>
      </c>
      <c r="H35" s="45"/>
      <c r="I35" s="36">
        <v>0.5</v>
      </c>
      <c r="J35" s="36"/>
      <c r="K35" s="31"/>
      <c r="L35" s="31"/>
      <c r="N35" s="41">
        <f t="shared" si="0"/>
        <v>742</v>
      </c>
      <c r="O35" s="41">
        <f t="shared" si="1"/>
        <v>360</v>
      </c>
    </row>
    <row r="36" spans="1:15" x14ac:dyDescent="0.3">
      <c r="A36" s="26" t="s">
        <v>81</v>
      </c>
      <c r="B36" s="27" t="s">
        <v>48</v>
      </c>
      <c r="C36" s="39" t="s">
        <v>63</v>
      </c>
      <c r="D36" s="42" t="s">
        <v>45</v>
      </c>
      <c r="E36" s="26" t="s">
        <v>37</v>
      </c>
      <c r="F36" s="28" t="s">
        <v>38</v>
      </c>
      <c r="G36" s="45">
        <v>2</v>
      </c>
      <c r="H36" s="45"/>
      <c r="I36" s="36">
        <v>0.5</v>
      </c>
      <c r="J36" s="36">
        <v>0.5</v>
      </c>
      <c r="K36" s="22"/>
      <c r="L36" s="23"/>
      <c r="N36" s="41">
        <f t="shared" si="0"/>
        <v>600</v>
      </c>
      <c r="O36" s="41">
        <f t="shared" si="1"/>
        <v>360</v>
      </c>
    </row>
    <row r="37" spans="1:15" x14ac:dyDescent="0.3">
      <c r="A37" s="26" t="s">
        <v>82</v>
      </c>
      <c r="B37" s="27" t="s">
        <v>62</v>
      </c>
      <c r="C37" s="39" t="s">
        <v>66</v>
      </c>
      <c r="D37" s="42" t="s">
        <v>51</v>
      </c>
      <c r="E37" s="26" t="s">
        <v>37</v>
      </c>
      <c r="F37" s="28" t="s">
        <v>38</v>
      </c>
      <c r="G37" s="45">
        <v>2</v>
      </c>
      <c r="H37" s="45">
        <v>0.5</v>
      </c>
      <c r="I37" s="36"/>
      <c r="J37" s="36"/>
      <c r="K37" s="22"/>
      <c r="L37" s="23"/>
      <c r="N37" s="41">
        <f t="shared" si="0"/>
        <v>564</v>
      </c>
      <c r="O37" s="41">
        <f t="shared" si="1"/>
        <v>100</v>
      </c>
    </row>
    <row r="38" spans="1:15" x14ac:dyDescent="0.3">
      <c r="A38" s="26" t="s">
        <v>83</v>
      </c>
      <c r="B38" s="27" t="s">
        <v>62</v>
      </c>
      <c r="C38" s="39" t="s">
        <v>66</v>
      </c>
      <c r="D38" s="42" t="s">
        <v>53</v>
      </c>
      <c r="E38" s="26" t="s">
        <v>37</v>
      </c>
      <c r="F38" s="28" t="s">
        <v>38</v>
      </c>
      <c r="G38" s="45"/>
      <c r="H38" s="45">
        <v>0.5</v>
      </c>
      <c r="I38" s="36"/>
      <c r="J38" s="36"/>
      <c r="K38" s="22"/>
      <c r="L38" s="23"/>
      <c r="N38" s="41">
        <f t="shared" si="0"/>
        <v>564</v>
      </c>
      <c r="O38" s="41">
        <f t="shared" si="1"/>
        <v>100</v>
      </c>
    </row>
    <row r="39" spans="1:15" x14ac:dyDescent="0.3">
      <c r="A39" s="26" t="s">
        <v>84</v>
      </c>
      <c r="B39" s="27" t="s">
        <v>75</v>
      </c>
      <c r="C39" s="39" t="s">
        <v>85</v>
      </c>
      <c r="D39" s="42" t="s">
        <v>56</v>
      </c>
      <c r="E39" s="26" t="s">
        <v>37</v>
      </c>
      <c r="F39" s="28">
        <v>2</v>
      </c>
      <c r="G39" s="45">
        <v>2</v>
      </c>
      <c r="H39" s="45">
        <v>0.5</v>
      </c>
      <c r="I39" s="36">
        <v>0.5</v>
      </c>
      <c r="J39" s="36">
        <v>0.5</v>
      </c>
      <c r="K39" s="32"/>
      <c r="L39" s="23"/>
      <c r="N39" s="41">
        <f t="shared" si="0"/>
        <v>562</v>
      </c>
      <c r="O39" s="41">
        <f t="shared" si="1"/>
        <v>345</v>
      </c>
    </row>
    <row r="40" spans="1:15" x14ac:dyDescent="0.3">
      <c r="A40" s="26" t="s">
        <v>86</v>
      </c>
      <c r="B40" s="27" t="s">
        <v>74</v>
      </c>
      <c r="C40" s="39" t="s">
        <v>61</v>
      </c>
      <c r="D40" s="42" t="s">
        <v>87</v>
      </c>
      <c r="E40" s="26" t="s">
        <v>37</v>
      </c>
      <c r="F40" s="28">
        <v>2</v>
      </c>
      <c r="G40" s="45">
        <v>2</v>
      </c>
      <c r="H40" s="45"/>
      <c r="I40" s="36">
        <v>0.5</v>
      </c>
      <c r="J40" s="36"/>
      <c r="K40" s="31"/>
      <c r="L40" s="31"/>
      <c r="N40" s="41">
        <f t="shared" si="0"/>
        <v>742</v>
      </c>
      <c r="O40" s="41">
        <f t="shared" si="1"/>
        <v>500</v>
      </c>
    </row>
    <row r="41" spans="1:15" x14ac:dyDescent="0.3">
      <c r="A41" s="26" t="s">
        <v>88</v>
      </c>
      <c r="B41" s="27" t="s">
        <v>74</v>
      </c>
      <c r="C41" s="39" t="s">
        <v>61</v>
      </c>
      <c r="D41" s="42" t="s">
        <v>89</v>
      </c>
      <c r="E41" s="26" t="s">
        <v>37</v>
      </c>
      <c r="F41" s="28">
        <v>2</v>
      </c>
      <c r="G41" s="45"/>
      <c r="H41" s="45"/>
      <c r="I41" s="36">
        <v>0.5</v>
      </c>
      <c r="J41" s="36"/>
      <c r="K41" s="22"/>
      <c r="L41" s="23"/>
      <c r="N41" s="41">
        <f t="shared" si="0"/>
        <v>742</v>
      </c>
      <c r="O41" s="41">
        <f t="shared" si="1"/>
        <v>500</v>
      </c>
    </row>
    <row r="42" spans="1:15" x14ac:dyDescent="0.3">
      <c r="A42" s="26" t="s">
        <v>90</v>
      </c>
      <c r="B42" s="27" t="s">
        <v>48</v>
      </c>
      <c r="C42" s="39" t="s">
        <v>91</v>
      </c>
      <c r="D42" s="42" t="s">
        <v>87</v>
      </c>
      <c r="E42" s="26" t="s">
        <v>37</v>
      </c>
      <c r="F42" s="28" t="s">
        <v>38</v>
      </c>
      <c r="G42" s="45">
        <v>2</v>
      </c>
      <c r="H42" s="45"/>
      <c r="I42" s="36">
        <v>0.5</v>
      </c>
      <c r="J42" s="36">
        <v>0.5</v>
      </c>
      <c r="K42" s="22"/>
      <c r="L42" s="23"/>
      <c r="N42" s="41">
        <f t="shared" si="0"/>
        <v>899</v>
      </c>
      <c r="O42" s="41">
        <f t="shared" si="1"/>
        <v>500</v>
      </c>
    </row>
    <row r="43" spans="1:15" x14ac:dyDescent="0.3">
      <c r="A43" s="26" t="s">
        <v>92</v>
      </c>
      <c r="B43" s="27" t="s">
        <v>95</v>
      </c>
      <c r="C43" s="39" t="s">
        <v>93</v>
      </c>
      <c r="D43" s="42" t="s">
        <v>94</v>
      </c>
      <c r="E43" s="26" t="s">
        <v>37</v>
      </c>
      <c r="F43" s="28">
        <v>2</v>
      </c>
      <c r="G43" s="45">
        <v>2</v>
      </c>
      <c r="H43" s="45">
        <v>0.5</v>
      </c>
      <c r="I43" s="36"/>
      <c r="J43" s="36"/>
      <c r="K43" s="22"/>
      <c r="L43" s="23"/>
      <c r="N43" s="41">
        <f t="shared" si="0"/>
        <v>863</v>
      </c>
      <c r="O43" s="41">
        <f t="shared" si="1"/>
        <v>80</v>
      </c>
    </row>
    <row r="44" spans="1:15" x14ac:dyDescent="0.3">
      <c r="A44" s="26" t="s">
        <v>96</v>
      </c>
      <c r="B44" s="27" t="s">
        <v>43</v>
      </c>
      <c r="C44" s="39" t="s">
        <v>97</v>
      </c>
      <c r="D44" s="42" t="s">
        <v>98</v>
      </c>
      <c r="E44" s="26" t="s">
        <v>37</v>
      </c>
      <c r="F44" s="28">
        <v>1</v>
      </c>
      <c r="G44" s="45">
        <v>0.5</v>
      </c>
      <c r="H44" s="45">
        <v>0.5</v>
      </c>
      <c r="I44" s="36">
        <v>0.5</v>
      </c>
      <c r="J44" s="36">
        <v>0.5</v>
      </c>
      <c r="K44" s="32"/>
      <c r="L44" s="23"/>
      <c r="N44" s="41">
        <f t="shared" si="0"/>
        <v>760</v>
      </c>
      <c r="O44" s="41">
        <f t="shared" si="1"/>
        <v>294</v>
      </c>
    </row>
    <row r="45" spans="1:15" x14ac:dyDescent="0.3">
      <c r="A45" s="26" t="s">
        <v>99</v>
      </c>
      <c r="B45" s="27" t="s">
        <v>74</v>
      </c>
      <c r="C45" s="39" t="s">
        <v>61</v>
      </c>
      <c r="D45" s="42" t="s">
        <v>100</v>
      </c>
      <c r="E45" s="26" t="s">
        <v>37</v>
      </c>
      <c r="F45" s="28">
        <v>2</v>
      </c>
      <c r="G45" s="45">
        <v>2</v>
      </c>
      <c r="H45" s="45"/>
      <c r="I45" s="36">
        <v>0.5</v>
      </c>
      <c r="J45" s="36"/>
      <c r="K45" s="32"/>
      <c r="L45" s="23"/>
      <c r="N45" s="41">
        <f t="shared" si="0"/>
        <v>742</v>
      </c>
      <c r="O45" s="41">
        <f t="shared" si="1"/>
        <v>520</v>
      </c>
    </row>
    <row r="46" spans="1:15" x14ac:dyDescent="0.3">
      <c r="A46" s="26" t="s">
        <v>101</v>
      </c>
      <c r="B46" s="27" t="s">
        <v>48</v>
      </c>
      <c r="C46" s="39" t="s">
        <v>102</v>
      </c>
      <c r="D46" s="42" t="s">
        <v>100</v>
      </c>
      <c r="E46" s="26" t="s">
        <v>37</v>
      </c>
      <c r="F46" s="28" t="s">
        <v>38</v>
      </c>
      <c r="G46" s="45">
        <v>2</v>
      </c>
      <c r="H46" s="45"/>
      <c r="I46" s="36">
        <v>0.5</v>
      </c>
      <c r="J46" s="36">
        <v>0.5</v>
      </c>
      <c r="K46" s="32"/>
      <c r="L46" s="23"/>
      <c r="N46" s="41">
        <f t="shared" si="0"/>
        <v>300</v>
      </c>
      <c r="O46" s="41">
        <f t="shared" si="1"/>
        <v>520</v>
      </c>
    </row>
    <row r="47" spans="1:15" x14ac:dyDescent="0.3">
      <c r="A47" s="26" t="s">
        <v>103</v>
      </c>
      <c r="B47" s="27" t="s">
        <v>62</v>
      </c>
      <c r="C47" s="39" t="s">
        <v>105</v>
      </c>
      <c r="D47" s="42" t="s">
        <v>51</v>
      </c>
      <c r="E47" s="26" t="s">
        <v>37</v>
      </c>
      <c r="F47" s="28" t="s">
        <v>38</v>
      </c>
      <c r="G47" s="45">
        <v>2</v>
      </c>
      <c r="H47" s="45">
        <v>0.5</v>
      </c>
      <c r="I47" s="36"/>
      <c r="J47" s="36"/>
      <c r="K47" s="35"/>
      <c r="L47" s="33"/>
      <c r="N47" s="41">
        <f t="shared" si="0"/>
        <v>264</v>
      </c>
      <c r="O47" s="41">
        <f t="shared" si="1"/>
        <v>100</v>
      </c>
    </row>
    <row r="48" spans="1:15" x14ac:dyDescent="0.3">
      <c r="A48" s="26" t="s">
        <v>104</v>
      </c>
      <c r="B48" s="27" t="s">
        <v>62</v>
      </c>
      <c r="C48" s="39" t="s">
        <v>105</v>
      </c>
      <c r="D48" s="42" t="s">
        <v>53</v>
      </c>
      <c r="E48" s="26" t="s">
        <v>37</v>
      </c>
      <c r="F48" s="28" t="s">
        <v>38</v>
      </c>
      <c r="G48" s="45"/>
      <c r="H48" s="45">
        <v>0.5</v>
      </c>
      <c r="I48" s="36"/>
      <c r="J48" s="36"/>
      <c r="K48" s="35"/>
      <c r="L48" s="33"/>
      <c r="N48" s="41">
        <f t="shared" si="0"/>
        <v>264</v>
      </c>
      <c r="O48" s="41">
        <f t="shared" si="1"/>
        <v>100</v>
      </c>
    </row>
    <row r="49" spans="1:15" x14ac:dyDescent="0.3">
      <c r="A49" s="26" t="s">
        <v>106</v>
      </c>
      <c r="B49" s="27" t="s">
        <v>72</v>
      </c>
      <c r="C49" s="39" t="s">
        <v>108</v>
      </c>
      <c r="D49" s="42" t="s">
        <v>109</v>
      </c>
      <c r="E49" s="26" t="s">
        <v>37</v>
      </c>
      <c r="F49" s="28">
        <v>2</v>
      </c>
      <c r="G49" s="45">
        <v>0.5</v>
      </c>
      <c r="H49" s="45">
        <v>0.5</v>
      </c>
      <c r="I49" s="36"/>
      <c r="J49" s="36"/>
      <c r="K49" s="22" t="s">
        <v>71</v>
      </c>
      <c r="L49" s="33"/>
      <c r="N49" s="41">
        <f t="shared" si="0"/>
        <v>189</v>
      </c>
      <c r="O49" s="41">
        <f t="shared" si="1"/>
        <v>476</v>
      </c>
    </row>
    <row r="50" spans="1:15" x14ac:dyDescent="0.3">
      <c r="A50" s="26" t="s">
        <v>107</v>
      </c>
      <c r="B50" s="27" t="s">
        <v>77</v>
      </c>
      <c r="C50" s="39" t="s">
        <v>110</v>
      </c>
      <c r="D50" s="42" t="s">
        <v>79</v>
      </c>
      <c r="E50" s="26" t="s">
        <v>37</v>
      </c>
      <c r="F50" s="28">
        <v>2</v>
      </c>
      <c r="G50" s="45">
        <v>2</v>
      </c>
      <c r="H50" s="45">
        <v>0.5</v>
      </c>
      <c r="I50" s="36"/>
      <c r="J50" s="36"/>
      <c r="K50" s="31"/>
      <c r="L50" s="33"/>
      <c r="N50" s="41">
        <f t="shared" si="0"/>
        <v>177</v>
      </c>
      <c r="O50" s="41">
        <f t="shared" si="1"/>
        <v>119</v>
      </c>
    </row>
    <row r="51" spans="1:15" x14ac:dyDescent="0.3">
      <c r="A51" s="26" t="s">
        <v>111</v>
      </c>
      <c r="B51" s="27" t="s">
        <v>74</v>
      </c>
      <c r="C51" s="39" t="s">
        <v>61</v>
      </c>
      <c r="D51" s="42" t="s">
        <v>100</v>
      </c>
      <c r="E51" s="26" t="s">
        <v>37</v>
      </c>
      <c r="F51" s="28">
        <v>2</v>
      </c>
      <c r="G51" s="45">
        <v>2</v>
      </c>
      <c r="H51" s="45"/>
      <c r="I51" s="36">
        <v>0.5</v>
      </c>
      <c r="J51" s="36"/>
      <c r="K51" s="35"/>
      <c r="L51" s="33"/>
      <c r="N51" s="41">
        <f t="shared" si="0"/>
        <v>742</v>
      </c>
      <c r="O51" s="41">
        <f t="shared" si="1"/>
        <v>520</v>
      </c>
    </row>
    <row r="52" spans="1:15" x14ac:dyDescent="0.3">
      <c r="A52" s="26" t="s">
        <v>112</v>
      </c>
      <c r="B52" s="27" t="s">
        <v>48</v>
      </c>
      <c r="C52" s="39" t="s">
        <v>63</v>
      </c>
      <c r="D52" s="42" t="s">
        <v>100</v>
      </c>
      <c r="E52" s="26" t="s">
        <v>37</v>
      </c>
      <c r="F52" s="28" t="s">
        <v>38</v>
      </c>
      <c r="G52" s="45">
        <v>2</v>
      </c>
      <c r="H52" s="45"/>
      <c r="I52" s="36">
        <v>0.5</v>
      </c>
      <c r="J52" s="36">
        <v>0.5</v>
      </c>
      <c r="K52" s="35"/>
      <c r="L52" s="33"/>
      <c r="N52" s="41">
        <f t="shared" si="0"/>
        <v>600</v>
      </c>
      <c r="O52" s="41">
        <f t="shared" si="1"/>
        <v>520</v>
      </c>
    </row>
    <row r="53" spans="1:15" x14ac:dyDescent="0.3">
      <c r="A53" s="26" t="s">
        <v>113</v>
      </c>
      <c r="B53" s="27" t="s">
        <v>114</v>
      </c>
      <c r="C53" s="39" t="s">
        <v>66</v>
      </c>
      <c r="D53" s="42" t="s">
        <v>100</v>
      </c>
      <c r="E53" s="26" t="s">
        <v>37</v>
      </c>
      <c r="F53" s="28" t="s">
        <v>38</v>
      </c>
      <c r="G53" s="45">
        <v>2</v>
      </c>
      <c r="H53" s="45"/>
      <c r="I53" s="36"/>
      <c r="J53" s="36"/>
      <c r="K53" s="35"/>
      <c r="L53" s="33"/>
      <c r="N53" s="41">
        <f t="shared" si="0"/>
        <v>564</v>
      </c>
      <c r="O53" s="41">
        <f t="shared" si="1"/>
        <v>520</v>
      </c>
    </row>
    <row r="54" spans="1:15" x14ac:dyDescent="0.3">
      <c r="A54" s="26" t="s">
        <v>115</v>
      </c>
      <c r="B54" s="27" t="s">
        <v>62</v>
      </c>
      <c r="C54" s="39" t="s">
        <v>66</v>
      </c>
      <c r="D54" s="42" t="s">
        <v>51</v>
      </c>
      <c r="E54" s="26" t="s">
        <v>37</v>
      </c>
      <c r="F54" s="28" t="s">
        <v>38</v>
      </c>
      <c r="G54" s="45">
        <v>2</v>
      </c>
      <c r="H54" s="45">
        <v>0.5</v>
      </c>
      <c r="I54" s="36"/>
      <c r="J54" s="36"/>
      <c r="K54" s="35"/>
      <c r="L54" s="33"/>
      <c r="N54" s="41">
        <f t="shared" si="0"/>
        <v>564</v>
      </c>
      <c r="O54" s="41">
        <f t="shared" si="1"/>
        <v>100</v>
      </c>
    </row>
    <row r="55" spans="1:15" x14ac:dyDescent="0.3">
      <c r="A55" s="26" t="s">
        <v>116</v>
      </c>
      <c r="B55" s="27" t="s">
        <v>62</v>
      </c>
      <c r="C55" s="39" t="s">
        <v>66</v>
      </c>
      <c r="D55" s="42" t="s">
        <v>53</v>
      </c>
      <c r="E55" s="26" t="s">
        <v>37</v>
      </c>
      <c r="F55" s="28" t="s">
        <v>38</v>
      </c>
      <c r="G55" s="45"/>
      <c r="H55" s="45">
        <v>0.5</v>
      </c>
      <c r="I55" s="36"/>
      <c r="J55" s="36"/>
      <c r="K55" s="35"/>
      <c r="L55" s="33"/>
      <c r="N55" s="41">
        <f t="shared" si="0"/>
        <v>564</v>
      </c>
      <c r="O55" s="41">
        <f t="shared" si="1"/>
        <v>100</v>
      </c>
    </row>
    <row r="56" spans="1:15" x14ac:dyDescent="0.3">
      <c r="A56" s="26" t="s">
        <v>117</v>
      </c>
      <c r="B56" s="27" t="s">
        <v>72</v>
      </c>
      <c r="C56" s="39" t="s">
        <v>118</v>
      </c>
      <c r="D56" s="42" t="s">
        <v>109</v>
      </c>
      <c r="E56" s="26" t="s">
        <v>37</v>
      </c>
      <c r="F56" s="28">
        <v>2</v>
      </c>
      <c r="G56" s="45">
        <v>0.5</v>
      </c>
      <c r="H56" s="45">
        <v>0.5</v>
      </c>
      <c r="I56" s="36"/>
      <c r="J56" s="36"/>
      <c r="K56" s="35"/>
      <c r="L56" s="33"/>
      <c r="N56" s="41">
        <f t="shared" si="0"/>
        <v>489</v>
      </c>
      <c r="O56" s="41">
        <f t="shared" si="1"/>
        <v>476</v>
      </c>
    </row>
    <row r="57" spans="1:15" x14ac:dyDescent="0.3">
      <c r="A57" s="26" t="s">
        <v>119</v>
      </c>
      <c r="B57" s="27" t="s">
        <v>77</v>
      </c>
      <c r="C57" s="39" t="s">
        <v>120</v>
      </c>
      <c r="D57" s="42" t="s">
        <v>121</v>
      </c>
      <c r="E57" s="26" t="s">
        <v>37</v>
      </c>
      <c r="F57" s="28">
        <v>2</v>
      </c>
      <c r="G57" s="45">
        <v>2</v>
      </c>
      <c r="H57" s="45">
        <v>0.5</v>
      </c>
      <c r="I57" s="36"/>
      <c r="J57" s="36"/>
      <c r="K57" s="35"/>
      <c r="L57" s="33"/>
      <c r="N57" s="41">
        <f t="shared" si="0"/>
        <v>477</v>
      </c>
      <c r="O57" s="41">
        <f t="shared" si="1"/>
        <v>84</v>
      </c>
    </row>
    <row r="58" spans="1:15" x14ac:dyDescent="0.3">
      <c r="A58" s="33"/>
      <c r="B58" s="34"/>
      <c r="C58" s="38"/>
      <c r="D58" s="44"/>
      <c r="E58" s="33"/>
      <c r="F58" s="33"/>
      <c r="G58" s="48"/>
      <c r="H58" s="44"/>
      <c r="I58" s="38"/>
      <c r="J58" s="47"/>
      <c r="K58" s="35"/>
      <c r="L58" s="33"/>
      <c r="N58" s="41">
        <f t="shared" si="0"/>
        <v>0</v>
      </c>
      <c r="O58" s="41">
        <f t="shared" si="1"/>
        <v>0</v>
      </c>
    </row>
    <row r="59" spans="1:15" x14ac:dyDescent="0.3">
      <c r="A59" s="33"/>
      <c r="B59" s="34"/>
      <c r="C59" s="38"/>
      <c r="D59" s="44"/>
      <c r="E59" s="33"/>
      <c r="F59" s="33"/>
      <c r="G59" s="48"/>
      <c r="H59" s="44"/>
      <c r="I59" s="38"/>
      <c r="J59" s="47"/>
      <c r="K59" s="35"/>
      <c r="L59" s="33"/>
      <c r="N59" s="41">
        <f t="shared" si="0"/>
        <v>0</v>
      </c>
      <c r="O59" s="41">
        <f t="shared" si="1"/>
        <v>0</v>
      </c>
    </row>
    <row r="60" spans="1:15" x14ac:dyDescent="0.3">
      <c r="A60" s="33"/>
      <c r="B60" s="34"/>
      <c r="C60" s="38"/>
      <c r="D60" s="44"/>
      <c r="E60" s="33"/>
      <c r="F60" s="33"/>
      <c r="G60" s="48"/>
      <c r="H60" s="44"/>
      <c r="I60" s="38"/>
      <c r="J60" s="47"/>
      <c r="K60" s="35"/>
      <c r="L60" s="33"/>
      <c r="N60" s="41">
        <f t="shared" si="0"/>
        <v>0</v>
      </c>
      <c r="O60" s="41">
        <f t="shared" si="1"/>
        <v>0</v>
      </c>
    </row>
    <row r="61" spans="1:15" x14ac:dyDescent="0.3">
      <c r="A61" s="33"/>
      <c r="B61" s="34"/>
      <c r="C61" s="38"/>
      <c r="D61" s="44"/>
      <c r="E61" s="33"/>
      <c r="F61" s="33"/>
      <c r="G61" s="48"/>
      <c r="H61" s="44"/>
      <c r="I61" s="38"/>
      <c r="J61" s="47"/>
      <c r="K61" s="35"/>
      <c r="L61" s="33"/>
      <c r="N61" s="41">
        <f t="shared" si="0"/>
        <v>0</v>
      </c>
      <c r="O61" s="41">
        <f t="shared" si="1"/>
        <v>0</v>
      </c>
    </row>
    <row r="62" spans="1:15" x14ac:dyDescent="0.3">
      <c r="A62" s="19"/>
      <c r="B62" s="20"/>
      <c r="C62" s="40"/>
      <c r="D62" s="43"/>
      <c r="E62" s="23"/>
      <c r="F62" s="23"/>
      <c r="G62" s="45"/>
      <c r="H62" s="46"/>
      <c r="I62" s="37"/>
      <c r="J62" s="36"/>
      <c r="K62" s="32"/>
      <c r="L62" s="23"/>
      <c r="N62" s="41">
        <f t="shared" si="0"/>
        <v>0</v>
      </c>
      <c r="O62" s="41">
        <f t="shared" si="1"/>
        <v>0</v>
      </c>
    </row>
    <row r="63" spans="1:15" x14ac:dyDescent="0.3">
      <c r="A63" s="19"/>
      <c r="B63" s="20"/>
      <c r="C63" s="40"/>
      <c r="D63" s="43"/>
      <c r="E63" s="23"/>
      <c r="F63" s="23"/>
      <c r="G63" s="45"/>
      <c r="H63" s="46"/>
      <c r="I63" s="37"/>
      <c r="J63" s="36"/>
      <c r="K63" s="32"/>
      <c r="L63" s="23"/>
      <c r="N63" s="41">
        <f t="shared" si="0"/>
        <v>0</v>
      </c>
      <c r="O63" s="41">
        <f t="shared" si="1"/>
        <v>0</v>
      </c>
    </row>
    <row r="64" spans="1:15" x14ac:dyDescent="0.3">
      <c r="A64" s="19"/>
      <c r="B64" s="20"/>
      <c r="C64" s="40"/>
      <c r="D64" s="43"/>
      <c r="E64" s="23"/>
      <c r="F64" s="23"/>
      <c r="G64" s="45"/>
      <c r="H64" s="46"/>
      <c r="I64" s="37"/>
      <c r="J64" s="36"/>
      <c r="K64" s="32"/>
      <c r="L64" s="23"/>
      <c r="N64" s="41">
        <f t="shared" si="0"/>
        <v>0</v>
      </c>
      <c r="O64" s="41">
        <f t="shared" si="1"/>
        <v>0</v>
      </c>
    </row>
    <row r="65" spans="1:15" x14ac:dyDescent="0.3">
      <c r="A65" s="19"/>
      <c r="B65" s="20"/>
      <c r="C65" s="40"/>
      <c r="D65" s="43"/>
      <c r="E65" s="23"/>
      <c r="F65" s="23"/>
      <c r="G65" s="45"/>
      <c r="H65" s="46"/>
      <c r="I65" s="37"/>
      <c r="J65" s="36"/>
      <c r="K65" s="32"/>
      <c r="L65" s="23"/>
      <c r="N65" s="41">
        <f t="shared" si="0"/>
        <v>0</v>
      </c>
      <c r="O65" s="41">
        <f t="shared" si="1"/>
        <v>0</v>
      </c>
    </row>
    <row r="66" spans="1:15" x14ac:dyDescent="0.3">
      <c r="A66" s="19"/>
      <c r="B66" s="20"/>
      <c r="C66" s="40"/>
      <c r="D66" s="43"/>
      <c r="E66" s="23"/>
      <c r="F66" s="23"/>
      <c r="G66" s="45"/>
      <c r="H66" s="46"/>
      <c r="I66" s="37"/>
      <c r="J66" s="36"/>
      <c r="K66" s="32"/>
      <c r="L66" s="23"/>
      <c r="N66" s="41">
        <f t="shared" si="0"/>
        <v>0</v>
      </c>
      <c r="O66" s="41">
        <f t="shared" si="1"/>
        <v>0</v>
      </c>
    </row>
    <row r="67" spans="1:15" x14ac:dyDescent="0.3">
      <c r="A67" s="19"/>
      <c r="B67" s="20"/>
      <c r="C67" s="40"/>
      <c r="D67" s="43"/>
      <c r="E67" s="23"/>
      <c r="F67" s="23"/>
      <c r="G67" s="45"/>
      <c r="H67" s="46"/>
      <c r="I67" s="37"/>
      <c r="J67" s="36"/>
      <c r="K67" s="32"/>
      <c r="L67" s="23"/>
      <c r="N67" s="41">
        <f t="shared" si="0"/>
        <v>0</v>
      </c>
      <c r="O67" s="41">
        <f t="shared" si="1"/>
        <v>0</v>
      </c>
    </row>
    <row r="68" spans="1:15" x14ac:dyDescent="0.3">
      <c r="A68" s="19"/>
      <c r="B68" s="20"/>
      <c r="C68" s="40"/>
      <c r="D68" s="43"/>
      <c r="E68" s="23"/>
      <c r="F68" s="23"/>
      <c r="G68" s="45"/>
      <c r="H68" s="46"/>
      <c r="I68" s="37"/>
      <c r="J68" s="36"/>
      <c r="K68" s="32"/>
      <c r="L68" s="23"/>
      <c r="N68" s="41">
        <f t="shared" si="0"/>
        <v>0</v>
      </c>
      <c r="O68" s="41">
        <f t="shared" si="1"/>
        <v>0</v>
      </c>
    </row>
    <row r="69" spans="1:15" x14ac:dyDescent="0.3">
      <c r="A69" s="19"/>
      <c r="B69" s="20"/>
      <c r="C69" s="40"/>
      <c r="D69" s="43"/>
      <c r="E69" s="23"/>
      <c r="F69" s="23"/>
      <c r="G69" s="45"/>
      <c r="H69" s="46"/>
      <c r="I69" s="37"/>
      <c r="J69" s="36"/>
      <c r="K69" s="32"/>
      <c r="L69" s="23"/>
      <c r="N69" s="41">
        <f t="shared" si="0"/>
        <v>0</v>
      </c>
      <c r="O69" s="41">
        <f t="shared" si="1"/>
        <v>0</v>
      </c>
    </row>
    <row r="70" spans="1:15" x14ac:dyDescent="0.3">
      <c r="A70" s="19"/>
      <c r="B70" s="20"/>
      <c r="C70" s="40"/>
      <c r="D70" s="43"/>
      <c r="E70" s="23"/>
      <c r="F70" s="23"/>
      <c r="G70" s="45"/>
      <c r="H70" s="46"/>
      <c r="I70" s="37"/>
      <c r="J70" s="36"/>
      <c r="K70" s="32"/>
      <c r="L70" s="23"/>
      <c r="N70" s="41">
        <f t="shared" si="0"/>
        <v>0</v>
      </c>
      <c r="O70" s="41">
        <f t="shared" si="1"/>
        <v>0</v>
      </c>
    </row>
    <row r="71" spans="1:15" x14ac:dyDescent="0.3">
      <c r="A71" s="19"/>
      <c r="B71" s="20"/>
      <c r="C71" s="40"/>
      <c r="D71" s="43"/>
      <c r="E71" s="23"/>
      <c r="F71" s="23"/>
      <c r="G71" s="45"/>
      <c r="H71" s="46"/>
      <c r="I71" s="37"/>
      <c r="J71" s="36"/>
      <c r="K71" s="32"/>
      <c r="L71" s="23"/>
      <c r="N71" s="41">
        <f t="shared" si="0"/>
        <v>0</v>
      </c>
      <c r="O71" s="41">
        <f t="shared" si="1"/>
        <v>0</v>
      </c>
    </row>
    <row r="72" spans="1:15" x14ac:dyDescent="0.3">
      <c r="A72" s="33"/>
      <c r="B72" s="34"/>
      <c r="C72" s="38"/>
      <c r="D72" s="44"/>
      <c r="E72" s="33"/>
      <c r="F72" s="33"/>
      <c r="G72" s="48"/>
      <c r="H72" s="44"/>
      <c r="I72" s="38"/>
      <c r="J72" s="47"/>
      <c r="K72" s="35"/>
      <c r="L72" s="33"/>
      <c r="N72" s="41">
        <f t="shared" si="0"/>
        <v>0</v>
      </c>
      <c r="O72" s="41">
        <f t="shared" si="1"/>
        <v>0</v>
      </c>
    </row>
    <row r="73" spans="1:15" x14ac:dyDescent="0.3">
      <c r="A73" s="33"/>
      <c r="B73" s="34"/>
      <c r="C73" s="38"/>
      <c r="D73" s="44"/>
      <c r="E73" s="33"/>
      <c r="F73" s="33"/>
      <c r="G73" s="48"/>
      <c r="H73" s="44"/>
      <c r="I73" s="38"/>
      <c r="J73" s="47"/>
      <c r="K73" s="35"/>
      <c r="L73" s="33"/>
      <c r="N73" s="41">
        <f t="shared" si="0"/>
        <v>0</v>
      </c>
      <c r="O73" s="41">
        <f t="shared" si="1"/>
        <v>0</v>
      </c>
    </row>
    <row r="74" spans="1:15" x14ac:dyDescent="0.3">
      <c r="A74" s="33"/>
      <c r="B74" s="34"/>
      <c r="C74" s="38"/>
      <c r="D74" s="44"/>
      <c r="E74" s="33"/>
      <c r="F74" s="33"/>
      <c r="G74" s="48"/>
      <c r="H74" s="44"/>
      <c r="I74" s="38"/>
      <c r="J74" s="47"/>
      <c r="K74" s="35"/>
      <c r="L74" s="33"/>
      <c r="N74" s="41">
        <f t="shared" si="0"/>
        <v>0</v>
      </c>
      <c r="O74" s="41">
        <f t="shared" si="1"/>
        <v>0</v>
      </c>
    </row>
    <row r="75" spans="1:15" x14ac:dyDescent="0.3">
      <c r="A75" s="33"/>
      <c r="B75" s="34"/>
      <c r="C75" s="38"/>
      <c r="D75" s="44"/>
      <c r="E75" s="33"/>
      <c r="F75" s="33"/>
      <c r="G75" s="48"/>
      <c r="H75" s="44"/>
      <c r="I75" s="38"/>
      <c r="J75" s="47"/>
      <c r="K75" s="35"/>
      <c r="L75" s="33"/>
      <c r="N75" s="41">
        <f t="shared" si="0"/>
        <v>0</v>
      </c>
      <c r="O75" s="41">
        <f t="shared" si="1"/>
        <v>0</v>
      </c>
    </row>
    <row r="76" spans="1:15" x14ac:dyDescent="0.3">
      <c r="A76" s="33"/>
      <c r="B76" s="34"/>
      <c r="C76" s="38"/>
      <c r="D76" s="44"/>
      <c r="E76" s="33"/>
      <c r="F76" s="33"/>
      <c r="G76" s="48"/>
      <c r="H76" s="44"/>
      <c r="I76" s="38"/>
      <c r="J76" s="47"/>
      <c r="K76" s="35"/>
      <c r="L76" s="33"/>
      <c r="N76" s="41">
        <f t="shared" si="0"/>
        <v>0</v>
      </c>
      <c r="O76" s="41">
        <f t="shared" si="1"/>
        <v>0</v>
      </c>
    </row>
    <row r="77" spans="1:15" x14ac:dyDescent="0.3">
      <c r="A77" s="33"/>
      <c r="B77" s="34"/>
      <c r="C77" s="38"/>
      <c r="D77" s="44"/>
      <c r="E77" s="33"/>
      <c r="F77" s="33"/>
      <c r="G77" s="48"/>
      <c r="H77" s="44"/>
      <c r="I77" s="38"/>
      <c r="J77" s="47"/>
      <c r="K77" s="35"/>
      <c r="L77" s="33"/>
      <c r="N77" s="41">
        <f t="shared" si="0"/>
        <v>0</v>
      </c>
      <c r="O77" s="41">
        <f t="shared" si="1"/>
        <v>0</v>
      </c>
    </row>
    <row r="78" spans="1:15" x14ac:dyDescent="0.3">
      <c r="A78" s="33"/>
      <c r="B78" s="34"/>
      <c r="C78" s="38"/>
      <c r="D78" s="44"/>
      <c r="E78" s="33"/>
      <c r="F78" s="33"/>
      <c r="G78" s="48"/>
      <c r="H78" s="44"/>
      <c r="I78" s="38"/>
      <c r="J78" s="47"/>
      <c r="K78" s="35"/>
      <c r="L78" s="33"/>
      <c r="N78" s="41">
        <f t="shared" si="0"/>
        <v>0</v>
      </c>
      <c r="O78" s="41">
        <f t="shared" si="1"/>
        <v>0</v>
      </c>
    </row>
    <row r="79" spans="1:15" x14ac:dyDescent="0.3">
      <c r="A79" s="33"/>
      <c r="B79" s="34"/>
      <c r="C79" s="38"/>
      <c r="D79" s="44"/>
      <c r="E79" s="33"/>
      <c r="F79" s="33"/>
      <c r="G79" s="48"/>
      <c r="H79" s="44"/>
      <c r="I79" s="38"/>
      <c r="J79" s="47"/>
      <c r="K79" s="35"/>
      <c r="L79" s="33"/>
      <c r="N79" s="41">
        <f t="shared" si="0"/>
        <v>0</v>
      </c>
      <c r="O79" s="41">
        <f t="shared" si="1"/>
        <v>0</v>
      </c>
    </row>
    <row r="80" spans="1:15" x14ac:dyDescent="0.3">
      <c r="A80" s="33"/>
      <c r="B80" s="34"/>
      <c r="C80" s="38"/>
      <c r="D80" s="44"/>
      <c r="E80" s="33"/>
      <c r="F80" s="33"/>
      <c r="G80" s="48"/>
      <c r="H80" s="44"/>
      <c r="I80" s="38"/>
      <c r="J80" s="47"/>
      <c r="K80" s="35"/>
      <c r="L80" s="33"/>
      <c r="N80" s="41">
        <f t="shared" si="0"/>
        <v>0</v>
      </c>
      <c r="O80" s="41">
        <f t="shared" si="1"/>
        <v>0</v>
      </c>
    </row>
  </sheetData>
  <sortState ref="B6:AB36">
    <sortCondition ref="E6"/>
  </sortState>
  <mergeCells count="5">
    <mergeCell ref="A5:L5"/>
    <mergeCell ref="A20:L20"/>
    <mergeCell ref="G21:J21"/>
    <mergeCell ref="A1:L1"/>
    <mergeCell ref="G3:J3"/>
  </mergeCells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Сергей</dc:creator>
  <cp:lastModifiedBy>Administrator</cp:lastModifiedBy>
  <dcterms:created xsi:type="dcterms:W3CDTF">2017-09-27T22:51:46Z</dcterms:created>
  <dcterms:modified xsi:type="dcterms:W3CDTF">2019-12-14T22:33:15Z</dcterms:modified>
</cp:coreProperties>
</file>